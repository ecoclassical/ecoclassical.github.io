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iod 1 (Aug 25 – Jun 26)" sheetId="1" state="visible" r:id="rId1"/>
    <sheet name="Period 2 (After Jun 1 2026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i val="1"/>
      <color rgb="00000000"/>
      <sz val="10"/>
    </font>
    <font>
      <name val="Calibri"/>
      <b val="1"/>
      <color rgb="00000000"/>
      <sz val="10"/>
    </font>
    <font>
      <name val="Calibri"/>
      <b val="1"/>
      <color rgb="00073309"/>
      <sz val="10"/>
    </font>
  </fonts>
  <fills count="9">
    <fill>
      <patternFill/>
    </fill>
    <fill>
      <patternFill patternType="gray125"/>
    </fill>
    <fill>
      <patternFill patternType="solid">
        <fgColor rgb="00073309"/>
      </patternFill>
    </fill>
    <fill>
      <patternFill patternType="solid">
        <fgColor rgb="00f0f7f0"/>
      </patternFill>
    </fill>
    <fill>
      <patternFill patternType="solid">
        <fgColor rgb="003cb54a"/>
      </patternFill>
    </fill>
    <fill>
      <patternFill patternType="solid">
        <fgColor rgb="00FFFFFF"/>
      </patternFill>
    </fill>
    <fill>
      <patternFill patternType="solid">
        <fgColor rgb="00f8faf8"/>
      </patternFill>
    </fill>
    <fill>
      <patternFill patternType="solid">
        <fgColor rgb="00f3e8c8"/>
      </patternFill>
    </fill>
    <fill>
      <patternFill patternType="solid">
        <fgColor rgb="00d4e8d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4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4" fontId="5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4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4" fontId="6" fillId="7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4" fontId="7" fillId="8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4" fontId="5" fillId="7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4" fontId="8" fillId="8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4" fontId="5" fillId="0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4" fontId="5" fillId="8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4" fontId="4" fillId="2" borderId="1" applyAlignment="1" pivotButton="0" quotePrefix="0" xfId="0">
      <alignment vertical="top" wrapText="1"/>
    </xf>
    <xf numFmtId="0" fontId="2" fillId="3" borderId="0" applyAlignment="1" pivotButton="0" quotePrefix="0" xfId="0">
      <alignment horizontal="center"/>
    </xf>
    <xf numFmtId="4" fontId="5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4" customWidth="1" min="3" max="3"/>
    <col width="12" customWidth="1" min="4" max="4"/>
    <col width="12" customWidth="1" min="5" max="5"/>
    <col width="36" customWidth="1" min="6" max="6"/>
  </cols>
  <sheetData>
    <row r="1" ht="22" customHeight="1">
      <c r="A1" s="1" t="inlineStr">
        <is>
          <t>NZIPL Research Expenses — Period 1: August 15, 2025 – June 1, 2026</t>
        </is>
      </c>
    </row>
    <row r="2">
      <c r="A2" s="2" t="inlineStr">
        <is>
          <t>Exchange rates: Sep–Oct 2025 ~1.10–1.165 | Jan 2026 ~1.17 | May 2026 ~1.155 USD/EUR</t>
        </is>
      </c>
    </row>
    <row r="4" ht="18" customHeight="1">
      <c r="A4" s="3" t="inlineStr">
        <is>
          <t>1. SOFTWARE SUBSCRIPTIONS</t>
        </is>
      </c>
    </row>
    <row r="5" ht="16" customHeight="1">
      <c r="A5" s="4" t="inlineStr">
        <is>
          <t>Category</t>
        </is>
      </c>
      <c r="B5" s="4" t="inlineStr">
        <is>
          <t>Item / Description</t>
        </is>
      </c>
      <c r="C5" s="4" t="inlineStr">
        <is>
          <t>Period</t>
        </is>
      </c>
      <c r="D5" s="4" t="inlineStr">
        <is>
          <t>EUR</t>
        </is>
      </c>
      <c r="E5" s="4" t="inlineStr">
        <is>
          <t>USD</t>
        </is>
      </c>
      <c r="F5" s="4" t="inlineStr">
        <is>
          <t>Receipt / Notes</t>
        </is>
      </c>
    </row>
    <row r="6">
      <c r="A6" s="5" t="inlineStr">
        <is>
          <t>Software</t>
        </is>
      </c>
      <c r="B6" s="5" t="inlineStr">
        <is>
          <t>Claude / Claude Code (Anthropic) — TOTAL</t>
        </is>
      </c>
      <c r="C6" s="5" t="inlineStr">
        <is>
          <t>Mar 6 – May 11, 2026</t>
        </is>
      </c>
      <c r="D6" s="6" t="n">
        <v>427.6</v>
      </c>
      <c r="E6" s="6" t="n">
        <v>494</v>
      </c>
      <c r="F6" s="5" t="inlineStr">
        <is>
          <t>14 invoices (0001–0014); EUR 427.60 @ 1.155</t>
        </is>
      </c>
    </row>
    <row r="7">
      <c r="A7" s="7" t="inlineStr">
        <is>
          <t>Software</t>
        </is>
      </c>
      <c r="B7" s="7" t="inlineStr">
        <is>
          <t xml:space="preserve">  ↳ CVCE / NZIPL project  (72%)</t>
        </is>
      </c>
      <c r="C7" s="7" t="inlineStr"/>
      <c r="D7" s="8" t="n">
        <v>308</v>
      </c>
      <c r="E7" s="8" t="n">
        <v>356</v>
      </c>
      <c r="F7" s="7" t="inlineStr">
        <is>
          <t>Project-attributed</t>
        </is>
      </c>
    </row>
    <row r="8">
      <c r="A8" s="9" t="inlineStr">
        <is>
          <t>Software</t>
        </is>
      </c>
      <c r="B8" s="9" t="inlineStr">
        <is>
          <t xml:space="preserve">  ↳ LEEDS_MODEL  (15%)  [personal]</t>
        </is>
      </c>
      <c r="C8" s="9" t="inlineStr"/>
      <c r="D8" s="10" t="n">
        <v>64</v>
      </c>
      <c r="E8" s="10" t="n">
        <v>74</v>
      </c>
      <c r="F8" s="9" t="inlineStr">
        <is>
          <t>Personal — paper submission sprint Apr 2026</t>
        </is>
      </c>
    </row>
    <row r="9">
      <c r="A9" s="9" t="inlineStr">
        <is>
          <t>Software</t>
        </is>
      </c>
      <c r="B9" s="9" t="inlineStr">
        <is>
          <t xml:space="preserve">  ↳ Conservation papers  (8%)  [personal]</t>
        </is>
      </c>
      <c r="C9" s="9" t="inlineStr"/>
      <c r="D9" s="10" t="n">
        <v>34</v>
      </c>
      <c r="E9" s="10" t="n">
        <v>39</v>
      </c>
      <c r="F9" s="9" t="inlineStr">
        <is>
          <t>Personal — sraffa_acs / econ_thermo</t>
        </is>
      </c>
    </row>
    <row r="10">
      <c r="A10" s="9" t="inlineStr">
        <is>
          <t>Software</t>
        </is>
      </c>
      <c r="B10" s="9" t="inlineStr">
        <is>
          <t xml:space="preserve">  ↳ Personal use  (5%)  [personal]</t>
        </is>
      </c>
      <c r="C10" s="9" t="inlineStr"/>
      <c r="D10" s="10" t="n">
        <v>21.78</v>
      </c>
      <c r="E10" s="10" t="n">
        <v>25</v>
      </c>
      <c r="F10" s="9" t="inlineStr">
        <is>
          <t>Invoice 0012 only (May 6, 2026)</t>
        </is>
      </c>
    </row>
    <row r="11">
      <c r="A11" s="5" t="inlineStr">
        <is>
          <t>Software</t>
        </is>
      </c>
      <c r="B11" s="5" t="inlineStr">
        <is>
          <t>ChatGPT Plus (OpenAI)</t>
        </is>
      </c>
      <c r="C11" s="5" t="inlineStr">
        <is>
          <t>Aug 17 – Apr 17, 2026</t>
        </is>
      </c>
      <c r="D11" s="5" t="n"/>
      <c r="E11" s="6" t="n">
        <v>194.67</v>
      </c>
      <c r="F11" s="5" t="inlineStr">
        <is>
          <t>9 months × $21.63; cancelled Apr 2026</t>
        </is>
      </c>
    </row>
    <row r="12">
      <c r="A12" s="5" t="inlineStr">
        <is>
          <t>Software</t>
        </is>
      </c>
      <c r="B12" s="5" t="inlineStr">
        <is>
          <t>Windsurf Pro (Exafunction)</t>
        </is>
      </c>
      <c r="C12" s="5" t="inlineStr">
        <is>
          <t>Sep 4 – Mar 4, 2026</t>
        </is>
      </c>
      <c r="D12" s="5" t="n"/>
      <c r="E12" s="6" t="n">
        <v>113.54</v>
      </c>
      <c r="F12" s="5" t="inlineStr">
        <is>
          <t>7 months × $16.22; cancelled Mar 2026</t>
        </is>
      </c>
    </row>
    <row r="13">
      <c r="A13" s="5" t="inlineStr">
        <is>
          <t>Software</t>
        </is>
      </c>
      <c r="B13" s="5" t="inlineStr">
        <is>
          <t>Posit Connect Cloud</t>
        </is>
      </c>
      <c r="C13" s="5" t="inlineStr">
        <is>
          <t>Sep 27 – Feb 27, 2026</t>
        </is>
      </c>
      <c r="D13" s="5" t="n"/>
      <c r="E13" s="6" t="n">
        <v>123.24</v>
      </c>
      <c r="F13" s="5" t="inlineStr">
        <is>
          <t>6 months × $20.54; cancelled Feb 2026</t>
        </is>
      </c>
    </row>
    <row r="14">
      <c r="A14" s="11" t="inlineStr"/>
      <c r="B14" s="11" t="inlineStr">
        <is>
          <t>SOFTWARE SUBTOTAL (all)</t>
        </is>
      </c>
      <c r="C14" s="11" t="inlineStr"/>
      <c r="D14" s="11" t="inlineStr"/>
      <c r="E14" s="12" t="n">
        <v>925</v>
      </c>
      <c r="F14" s="11" t="inlineStr"/>
    </row>
    <row r="15">
      <c r="A15" s="13" t="inlineStr"/>
      <c r="B15" s="13" t="inlineStr">
        <is>
          <t>SOFTWARE — Personal (LEEDS + Conservation + personal use = 28%)</t>
        </is>
      </c>
      <c r="C15" s="13" t="inlineStr"/>
      <c r="D15" s="14" t="n">
        <v>119.78</v>
      </c>
      <c r="E15" s="14" t="n">
        <v>138</v>
      </c>
      <c r="F15" s="13" t="inlineStr">
        <is>
          <t>Excluded from project subtotal</t>
        </is>
      </c>
    </row>
    <row r="16">
      <c r="A16" s="15" t="inlineStr"/>
      <c r="B16" s="15" t="inlineStr">
        <is>
          <t>SOFTWARE PROJECT SUBTOTAL  (72% Anthropic + pre-Claude tools)</t>
        </is>
      </c>
      <c r="C16" s="15" t="inlineStr"/>
      <c r="D16" s="15" t="inlineStr"/>
      <c r="E16" s="16" t="n">
        <v>787</v>
      </c>
      <c r="F16" s="15">
        <f> $356 (CVCE Anthropic) + $431 (ChatGPT+Windsurf+Posit)</f>
        <v/>
      </c>
    </row>
    <row r="18" ht="18" customHeight="1">
      <c r="A18" s="3" t="inlineStr">
        <is>
          <t>2. RESEARCH FLIGHTS</t>
        </is>
      </c>
    </row>
    <row r="19" ht="16" customHeight="1">
      <c r="A19" s="4" t="inlineStr">
        <is>
          <t>Category</t>
        </is>
      </c>
      <c r="B19" s="4" t="inlineStr">
        <is>
          <t>Item / Description</t>
        </is>
      </c>
      <c r="C19" s="4" t="inlineStr">
        <is>
          <t>Period</t>
        </is>
      </c>
      <c r="D19" s="4" t="inlineStr">
        <is>
          <t>EUR</t>
        </is>
      </c>
      <c r="E19" s="4" t="inlineStr">
        <is>
          <t>USD</t>
        </is>
      </c>
      <c r="F19" s="4" t="inlineStr">
        <is>
          <t>Receipt / Notes</t>
        </is>
      </c>
    </row>
    <row r="20">
      <c r="A20" s="17" t="inlineStr">
        <is>
          <t>Flight</t>
        </is>
      </c>
      <c r="B20" s="17" t="inlineStr">
        <is>
          <t>BCN → JFK  (outbound)</t>
        </is>
      </c>
      <c r="C20" s="17" t="inlineStr">
        <is>
          <t>Wed 17 Sep 2025  12:50–15:29</t>
        </is>
      </c>
      <c r="D20" s="17" t="n"/>
      <c r="E20" s="17" t="n"/>
      <c r="F20" s="17" t="inlineStr">
        <is>
          <t>American Airlines AA67, Economy, 8h39m</t>
        </is>
      </c>
    </row>
    <row r="21">
      <c r="A21" s="17" t="inlineStr">
        <is>
          <t>Flight</t>
        </is>
      </c>
      <c r="B21" s="17" t="inlineStr">
        <is>
          <t>JFK → BCN  (return)</t>
        </is>
      </c>
      <c r="C21" s="17" t="inlineStr">
        <is>
          <t>Mon 29 Sep → Tue 30 Sep 2025</t>
        </is>
      </c>
      <c r="D21" s="17" t="n"/>
      <c r="E21" s="17" t="n"/>
      <c r="F21" s="17" t="inlineStr">
        <is>
          <t>American Airlines AA66, Economy, 7h35m</t>
        </is>
      </c>
    </row>
    <row r="22">
      <c r="A22" s="11" t="inlineStr">
        <is>
          <t>Flight</t>
        </is>
      </c>
      <c r="B22" s="11" t="inlineStr">
        <is>
          <t>NYC Climate Week  TOTAL  ✓</t>
        </is>
      </c>
      <c r="C22" s="11" t="inlineStr">
        <is>
          <t>Sep 17–30, 2025</t>
        </is>
      </c>
      <c r="D22" s="11" t="n"/>
      <c r="E22" s="12" t="n">
        <v>430.3</v>
      </c>
      <c r="F22" s="11" t="inlineStr">
        <is>
          <t>eDreams 23868096095 / SXHYLT; $550.30 − $120 Prime; nyc_2025_09_17-30.pdf</t>
        </is>
      </c>
    </row>
    <row r="23">
      <c r="A23" s="17" t="inlineStr">
        <is>
          <t>Flight</t>
        </is>
      </c>
      <c r="B23" s="17" t="inlineStr">
        <is>
          <t>BCN → AMS → IAD  (outbound)</t>
        </is>
      </c>
      <c r="C23" s="17" t="inlineStr">
        <is>
          <t>Tue 14 Oct 2025  09:15→arrive IAD</t>
        </is>
      </c>
      <c r="D23" s="17" t="n"/>
      <c r="E23" s="17" t="n"/>
      <c r="F23" s="17" t="inlineStr">
        <is>
          <t>KLM, Economy, via Amsterdam</t>
        </is>
      </c>
    </row>
    <row r="24">
      <c r="A24" s="17" t="inlineStr">
        <is>
          <t>Flight</t>
        </is>
      </c>
      <c r="B24" s="17" t="inlineStr">
        <is>
          <t>IAD → BCN  (return)</t>
        </is>
      </c>
      <c r="C24" s="17" t="inlineStr">
        <is>
          <t>Sun 19 Oct → Mon 20 Oct 2025</t>
        </is>
      </c>
      <c r="D24" s="17" t="n"/>
      <c r="E24" s="17" t="n"/>
      <c r="F24" s="17" t="inlineStr">
        <is>
          <t>KLM, Economy</t>
        </is>
      </c>
    </row>
    <row r="25">
      <c r="A25" s="11" t="inlineStr">
        <is>
          <t>Flight</t>
        </is>
      </c>
      <c r="B25" s="11" t="inlineStr">
        <is>
          <t>IMF / World Bank DC  TOTAL  ⚠️ PDF pending</t>
        </is>
      </c>
      <c r="C25" s="11" t="inlineStr">
        <is>
          <t>Oct 14–20, 2025</t>
        </is>
      </c>
      <c r="D25" s="11" t="n"/>
      <c r="E25" s="12" t="n">
        <v>471.03</v>
      </c>
      <c r="F25" s="11" t="inlineStr">
        <is>
          <t>KLM Flying Blue; price confirmed; KLM PDF still to download</t>
        </is>
      </c>
    </row>
    <row r="26">
      <c r="A26" s="17" t="inlineStr">
        <is>
          <t>Flight</t>
        </is>
      </c>
      <c r="B26" s="17" t="inlineStr">
        <is>
          <t>BCN → MUC → BER  (outbound)</t>
        </is>
      </c>
      <c r="C26" s="17" t="inlineStr">
        <is>
          <t>Wed 22 Oct 2025  07:05</t>
        </is>
      </c>
      <c r="D26" s="17" t="n"/>
      <c r="E26" s="17" t="n"/>
      <c r="F26" s="17" t="inlineStr">
        <is>
          <t>Lufthansa + Lufthansa City</t>
        </is>
      </c>
    </row>
    <row r="27">
      <c r="A27" s="17" t="inlineStr">
        <is>
          <t>Flight</t>
        </is>
      </c>
      <c r="B27" s="17" t="inlineStr">
        <is>
          <t>BER → BCN  (return)</t>
        </is>
      </c>
      <c r="C27" s="17" t="inlineStr">
        <is>
          <t>Sun 26 Oct 2025  20:20</t>
        </is>
      </c>
      <c r="D27" s="17" t="n"/>
      <c r="E27" s="17" t="n"/>
      <c r="F27" s="17" t="inlineStr">
        <is>
          <t>Iberia / Vueling</t>
        </is>
      </c>
    </row>
    <row r="28">
      <c r="A28" s="11" t="inlineStr">
        <is>
          <t>Flight</t>
        </is>
      </c>
      <c r="B28" s="11" t="inlineStr">
        <is>
          <t>FMM Conference Berlin  TOTAL  ✓</t>
        </is>
      </c>
      <c r="C28" s="11" t="inlineStr">
        <is>
          <t>Oct 22–26, 2025</t>
        </is>
      </c>
      <c r="D28" s="11" t="n"/>
      <c r="E28" s="12" t="n">
        <v>255</v>
      </c>
      <c r="F28" s="11" t="inlineStr">
        <is>
          <t>Kiwi 686601960 / invoice 2025-46242179; berlin_2025_10_22-26.pdf</t>
        </is>
      </c>
    </row>
    <row r="29">
      <c r="A29" s="17" t="inlineStr">
        <is>
          <t>Flight</t>
        </is>
      </c>
      <c r="B29" s="17" t="inlineStr">
        <is>
          <t>BCN → FCO  (outbound)</t>
        </is>
      </c>
      <c r="C29" s="17" t="inlineStr">
        <is>
          <t>Thu 14 Jan 2026  07:20</t>
        </is>
      </c>
      <c r="D29" s="17" t="n"/>
      <c r="E29" s="17" t="n"/>
      <c r="F29" s="17" t="inlineStr">
        <is>
          <t>Ryanair</t>
        </is>
      </c>
    </row>
    <row r="30">
      <c r="A30" s="17" t="inlineStr">
        <is>
          <t>Flight</t>
        </is>
      </c>
      <c r="B30" s="17" t="inlineStr">
        <is>
          <t>FCO → BCN  (return)</t>
        </is>
      </c>
      <c r="C30" s="17" t="inlineStr">
        <is>
          <t>Sat 16 Jan 2026  20:25</t>
        </is>
      </c>
      <c r="D30" s="17" t="n"/>
      <c r="E30" s="17" t="n"/>
      <c r="F30" s="17" t="inlineStr">
        <is>
          <t>Ryanair</t>
        </is>
      </c>
    </row>
    <row r="31">
      <c r="A31" s="11" t="inlineStr">
        <is>
          <t>Flight</t>
        </is>
      </c>
      <c r="B31" s="11" t="inlineStr">
        <is>
          <t>Cassino SFC Workshop  TOTAL  ✓</t>
        </is>
      </c>
      <c r="C31" s="11" t="inlineStr">
        <is>
          <t>Jan 14–16, 2026</t>
        </is>
      </c>
      <c r="D31" s="11" t="n"/>
      <c r="E31" s="12" t="n">
        <v>208.25</v>
      </c>
      <c r="F31" s="11" t="inlineStr">
        <is>
          <t>Kiwi 715343926 / invoice 2025-47958348; incl. 8kg bag + service fee; cassino_2026_01_14-16.pdf</t>
        </is>
      </c>
    </row>
    <row r="32">
      <c r="A32" s="11" t="inlineStr"/>
      <c r="B32" s="11" t="inlineStr">
        <is>
          <t>FLIGHTS SUBTOTAL</t>
        </is>
      </c>
      <c r="C32" s="11" t="inlineStr"/>
      <c r="D32" s="11" t="inlineStr"/>
      <c r="E32" s="12" t="n">
        <v>1364.58</v>
      </c>
      <c r="F32" s="11" t="inlineStr"/>
    </row>
    <row r="34" ht="18" customHeight="1">
      <c r="A34" s="3" t="inlineStr">
        <is>
          <t>3. ACCOMMODATION</t>
        </is>
      </c>
    </row>
    <row r="35" ht="16" customHeight="1">
      <c r="A35" s="4" t="inlineStr">
        <is>
          <t>Category</t>
        </is>
      </c>
      <c r="B35" s="4" t="inlineStr">
        <is>
          <t>Item / Description</t>
        </is>
      </c>
      <c r="C35" s="4" t="inlineStr">
        <is>
          <t>Period</t>
        </is>
      </c>
      <c r="D35" s="4" t="inlineStr">
        <is>
          <t>EUR</t>
        </is>
      </c>
      <c r="E35" s="4" t="inlineStr">
        <is>
          <t>USD</t>
        </is>
      </c>
      <c r="F35" s="4" t="inlineStr">
        <is>
          <t>Receipt / Notes</t>
        </is>
      </c>
    </row>
    <row r="36">
      <c r="A36" s="18" t="inlineStr">
        <is>
          <t>Accommodation</t>
        </is>
      </c>
      <c r="B36" s="18" t="inlineStr">
        <is>
          <t>New York City</t>
        </is>
      </c>
      <c r="C36" s="18" t="inlineStr">
        <is>
          <t>Sep 17–30, 2025</t>
        </is>
      </c>
      <c r="D36" s="18" t="n"/>
      <c r="E36" s="19" t="n">
        <v>0</v>
      </c>
      <c r="F36" s="18" t="inlineStr">
        <is>
          <t>Friend's place — no cost</t>
        </is>
      </c>
    </row>
    <row r="37">
      <c r="A37" s="18" t="inlineStr">
        <is>
          <t>Accommodation</t>
        </is>
      </c>
      <c r="B37" s="18" t="inlineStr">
        <is>
          <t>Washington DC</t>
        </is>
      </c>
      <c r="C37" s="18" t="inlineStr">
        <is>
          <t>Oct 14–19, 2025</t>
        </is>
      </c>
      <c r="D37" s="18" t="n"/>
      <c r="E37" s="19" t="n">
        <v>0</v>
      </c>
      <c r="F37" s="18" t="inlineStr">
        <is>
          <t>Friend's place — no cost</t>
        </is>
      </c>
    </row>
    <row r="38">
      <c r="A38" s="18" t="inlineStr">
        <is>
          <t>Accommodation</t>
        </is>
      </c>
      <c r="B38" s="18" t="inlineStr">
        <is>
          <t>Berlin</t>
        </is>
      </c>
      <c r="C38" s="18" t="inlineStr">
        <is>
          <t>Oct 22–27, 2025</t>
        </is>
      </c>
      <c r="D38" s="19" t="n">
        <v>90</v>
      </c>
      <c r="E38" s="19" t="n">
        <v>99</v>
      </c>
      <c r="F38" s="18" t="inlineStr">
        <is>
          <t>Friend's apt; EUR 90 prorated rent @ 1.10; no formal receipt</t>
        </is>
      </c>
    </row>
    <row r="39">
      <c r="A39" s="18" t="inlineStr">
        <is>
          <t>Accommodation</t>
        </is>
      </c>
      <c r="B39" s="18" t="inlineStr">
        <is>
          <t>Cassino / Rome</t>
        </is>
      </c>
      <c r="C39" s="18" t="inlineStr">
        <is>
          <t>Jan 13–17, 2026</t>
        </is>
      </c>
      <c r="D39" s="18" t="n"/>
      <c r="E39" s="19" t="n">
        <v>0</v>
      </c>
      <c r="F39" s="18" t="inlineStr">
        <is>
          <t>Friend's place — no cost</t>
        </is>
      </c>
    </row>
    <row r="40">
      <c r="A40" s="11" t="inlineStr"/>
      <c r="B40" s="11" t="inlineStr">
        <is>
          <t>ACCOMMODATION SUBTOTAL</t>
        </is>
      </c>
      <c r="C40" s="11" t="inlineStr"/>
      <c r="D40" s="11" t="inlineStr"/>
      <c r="E40" s="12" t="n">
        <v>99</v>
      </c>
      <c r="F40" s="11" t="inlineStr"/>
    </row>
    <row r="42" ht="18" customHeight="1">
      <c r="A42" s="3" t="inlineStr">
        <is>
          <t>PERIOD 1 SUMMARY</t>
        </is>
      </c>
    </row>
    <row r="43">
      <c r="A43" s="4" t="inlineStr">
        <is>
          <t>Category</t>
        </is>
      </c>
      <c r="B43" s="4" t="inlineStr">
        <is>
          <t>Total USD</t>
        </is>
      </c>
      <c r="C43" s="4" t="inlineStr">
        <is>
          <t>Project USD</t>
        </is>
      </c>
      <c r="D43" s="4" t="inlineStr"/>
      <c r="E43" s="4" t="inlineStr"/>
      <c r="F43" s="4" t="inlineStr"/>
    </row>
    <row r="44">
      <c r="A44" s="20" t="inlineStr">
        <is>
          <t>Software — all tools</t>
        </is>
      </c>
      <c r="B44" s="21" t="n">
        <v>925</v>
      </c>
      <c r="C44" s="20" t="n"/>
      <c r="D44" s="20" t="inlineStr"/>
      <c r="E44" s="20" t="inlineStr"/>
      <c r="F44" s="20" t="inlineStr"/>
    </row>
    <row r="45">
      <c r="A45" s="20" t="inlineStr">
        <is>
          <t>Software — personal (28% Anthr.)</t>
        </is>
      </c>
      <c r="B45" s="21" t="n">
        <v>138</v>
      </c>
      <c r="C45" s="20" t="n"/>
      <c r="D45" s="20" t="inlineStr"/>
      <c r="E45" s="20" t="inlineStr"/>
      <c r="F45" s="20" t="inlineStr"/>
    </row>
    <row r="46">
      <c r="A46" s="20" t="inlineStr">
        <is>
          <t>Software — project subtotal</t>
        </is>
      </c>
      <c r="B46" s="21" t="n">
        <v>787</v>
      </c>
      <c r="C46" s="21" t="n">
        <v>787</v>
      </c>
      <c r="D46" s="20" t="inlineStr"/>
      <c r="E46" s="20" t="inlineStr"/>
      <c r="F46" s="20" t="inlineStr"/>
    </row>
    <row r="47">
      <c r="A47" s="20" t="inlineStr">
        <is>
          <t>Flights</t>
        </is>
      </c>
      <c r="B47" s="21" t="n">
        <v>1365</v>
      </c>
      <c r="C47" s="21" t="n">
        <v>1365</v>
      </c>
      <c r="D47" s="20" t="inlineStr"/>
      <c r="E47" s="20" t="inlineStr"/>
      <c r="F47" s="20" t="inlineStr"/>
    </row>
    <row r="48">
      <c r="A48" s="20" t="inlineStr">
        <is>
          <t>Accommodation</t>
        </is>
      </c>
      <c r="B48" s="21" t="n">
        <v>99</v>
      </c>
      <c r="C48" s="21" t="n">
        <v>99</v>
      </c>
      <c r="D48" s="20" t="inlineStr"/>
      <c r="E48" s="20" t="inlineStr"/>
      <c r="F48" s="20" t="inlineStr"/>
    </row>
    <row r="49">
      <c r="A49" s="22" t="inlineStr">
        <is>
          <t>GRAND TOTAL</t>
        </is>
      </c>
      <c r="B49" s="23" t="n">
        <v>2389</v>
      </c>
      <c r="C49" s="22" t="n"/>
      <c r="D49" s="22" t="inlineStr"/>
      <c r="E49" s="22" t="inlineStr"/>
      <c r="F49" s="22" t="inlineStr"/>
    </row>
    <row r="50">
      <c r="A50" s="22" t="inlineStr">
        <is>
          <t>PROJECT TOTAL</t>
        </is>
      </c>
      <c r="B50" s="22" t="n"/>
      <c r="C50" s="23" t="n">
        <v>2251</v>
      </c>
      <c r="D50" s="22" t="inlineStr"/>
      <c r="E50" s="22" t="inlineStr"/>
      <c r="F50" s="22" t="inlineStr"/>
    </row>
  </sheetData>
  <mergeCells count="6">
    <mergeCell ref="A2:F2"/>
    <mergeCell ref="A42:F42"/>
    <mergeCell ref="A1:F1"/>
    <mergeCell ref="A34:F34"/>
    <mergeCell ref="A18:F18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4" customWidth="1" min="3" max="3"/>
    <col width="12" customWidth="1" min="4" max="4"/>
    <col width="12" customWidth="1" min="5" max="5"/>
    <col width="36" customWidth="1" min="6" max="6"/>
  </cols>
  <sheetData>
    <row r="1" ht="22" customHeight="1">
      <c r="A1" s="1" t="inlineStr">
        <is>
          <t>NZIPL Research Expenses — Period 2: After June 1, 2026  (JEC2026 Bilbao + ongoing)</t>
        </is>
      </c>
    </row>
    <row r="2">
      <c r="A2" s="24" t="inlineStr">
        <is>
          <t>EUR/USD @ 1.153 (June 2026)</t>
        </is>
      </c>
    </row>
    <row r="4" ht="18" customHeight="1">
      <c r="A4" s="3" t="inlineStr">
        <is>
          <t>1. FLIGHTS / TRANSPORT</t>
        </is>
      </c>
    </row>
    <row r="5">
      <c r="A5" s="4" t="inlineStr">
        <is>
          <t>Category</t>
        </is>
      </c>
      <c r="B5" s="4" t="inlineStr">
        <is>
          <t>Item / Description</t>
        </is>
      </c>
      <c r="C5" s="4" t="inlineStr">
        <is>
          <t>Period</t>
        </is>
      </c>
      <c r="D5" s="4" t="inlineStr">
        <is>
          <t>EUR</t>
        </is>
      </c>
      <c r="E5" s="4" t="inlineStr">
        <is>
          <t>USD</t>
        </is>
      </c>
      <c r="F5" s="4" t="inlineStr">
        <is>
          <t>Receipt / Notes</t>
        </is>
      </c>
    </row>
    <row r="6">
      <c r="A6" s="18" t="inlineStr">
        <is>
          <t>Flight (train)</t>
        </is>
      </c>
      <c r="B6" s="18" t="inlineStr">
        <is>
          <t>BCN → BIO  (outbound — researcher ticket)</t>
        </is>
      </c>
      <c r="C6" s="18" t="inlineStr">
        <is>
          <t>Wed 10 Jun 2026  08:50</t>
        </is>
      </c>
      <c r="D6" s="19" t="n">
        <v>50.3</v>
      </c>
      <c r="E6" s="19" t="n">
        <v>58</v>
      </c>
      <c r="F6" s="18" t="inlineStr">
        <is>
          <t>RENFE ALVIA 6D3DF8; Confort class; BCN-Sants → Bilbao Abando</t>
        </is>
      </c>
    </row>
    <row r="7">
      <c r="A7" s="18" t="inlineStr">
        <is>
          <t>Flight (train)</t>
        </is>
      </c>
      <c r="B7" s="18" t="inlineStr">
        <is>
          <t>BIO → BCN  (return — researcher ticket)</t>
        </is>
      </c>
      <c r="C7" s="18" t="inlineStr">
        <is>
          <t>Sun 14 Jun 2026  15:02</t>
        </is>
      </c>
      <c r="D7" s="19" t="n">
        <v>72.7</v>
      </c>
      <c r="E7" s="19" t="n">
        <v>83.81999999999999</v>
      </c>
      <c r="F7" s="18" t="inlineStr">
        <is>
          <t>RENFE ALVIA 6D3DF8; Estándar class; Bilbao Abando → BCN-Sants</t>
        </is>
      </c>
    </row>
    <row r="8">
      <c r="A8" s="11" t="inlineStr">
        <is>
          <t>Flight (train)</t>
        </is>
      </c>
      <c r="B8" s="11" t="inlineStr">
        <is>
          <t>RENFE Bilbao TOTAL  ✓  (researcher share)</t>
        </is>
      </c>
      <c r="C8" s="11" t="inlineStr">
        <is>
          <t>Jun 10–14, 2026</t>
        </is>
      </c>
      <c r="D8" s="12" t="n">
        <v>133</v>
      </c>
      <c r="E8" s="12" t="n">
        <v>153.35</v>
      </c>
      <c r="F8" s="11" t="inlineStr">
        <is>
          <t>2026-06-10_BCN-BIO_RENFE-6D3DF8.pdf  |  Full booking EUR 246 (3 tickets); researcher = 1 ticket each leg</t>
        </is>
      </c>
    </row>
    <row r="9">
      <c r="A9" s="11" t="inlineStr"/>
      <c r="B9" s="11" t="inlineStr">
        <is>
          <t>FLIGHTS SUBTOTAL</t>
        </is>
      </c>
      <c r="C9" s="11" t="inlineStr"/>
      <c r="D9" s="12" t="n">
        <v>133</v>
      </c>
      <c r="E9" s="12" t="n">
        <v>153.35</v>
      </c>
      <c r="F9" s="11" t="inlineStr"/>
    </row>
    <row r="11" ht="18" customHeight="1">
      <c r="A11" s="3" t="inlineStr">
        <is>
          <t>2. ACCOMMODATION</t>
        </is>
      </c>
    </row>
    <row r="12">
      <c r="A12" s="4" t="inlineStr">
        <is>
          <t>Category</t>
        </is>
      </c>
      <c r="B12" s="4" t="inlineStr">
        <is>
          <t>Item / Description</t>
        </is>
      </c>
      <c r="C12" s="4" t="inlineStr">
        <is>
          <t>Period</t>
        </is>
      </c>
      <c r="D12" s="4" t="inlineStr">
        <is>
          <t>EUR</t>
        </is>
      </c>
      <c r="E12" s="4" t="inlineStr">
        <is>
          <t>USD</t>
        </is>
      </c>
      <c r="F12" s="4" t="inlineStr">
        <is>
          <t>Receipt / Notes</t>
        </is>
      </c>
    </row>
    <row r="13">
      <c r="A13" s="18" t="inlineStr">
        <is>
          <t>Accommodation</t>
        </is>
      </c>
      <c r="B13" s="18" t="inlineStr">
        <is>
          <t>Airbnb — accommodation fee</t>
        </is>
      </c>
      <c r="C13" s="18" t="inlineStr">
        <is>
          <t>Jun 10–14, 2026  (4 nights)</t>
        </is>
      </c>
      <c r="D13" s="19" t="n">
        <v>822</v>
      </c>
      <c r="E13" s="19" t="n">
        <v>947.77</v>
      </c>
      <c r="F13" s="18" t="inlineStr">
        <is>
          <t>Confort y Diseño con Vistas al Casco Viejo (BIOHOME SL ARETXAGA)</t>
        </is>
      </c>
    </row>
    <row r="14">
      <c r="A14" s="18" t="inlineStr">
        <is>
          <t>Accommodation</t>
        </is>
      </c>
      <c r="B14" s="18" t="inlineStr">
        <is>
          <t>Airbnb — cleaning fee</t>
        </is>
      </c>
      <c r="C14" s="18" t="inlineStr">
        <is>
          <t>Jun 14, 2026</t>
        </is>
      </c>
      <c r="D14" s="19" t="n">
        <v>75</v>
      </c>
      <c r="E14" s="19" t="n">
        <v>86.48</v>
      </c>
      <c r="F14" s="18" t="inlineStr">
        <is>
          <t>Booking 123253; receipt: bilbao_accommodation_2026_06_10-14.pdf</t>
        </is>
      </c>
    </row>
    <row r="15">
      <c r="A15" s="11" t="inlineStr">
        <is>
          <t>Accommodation</t>
        </is>
      </c>
      <c r="B15" s="11" t="inlineStr">
        <is>
          <t>Airbnb Bilbao TOTAL  ✓</t>
        </is>
      </c>
      <c r="C15" s="11" t="inlineStr">
        <is>
          <t>Jun 10–14, 2026</t>
        </is>
      </c>
      <c r="D15" s="12" t="n">
        <v>897</v>
      </c>
      <c r="E15" s="12" t="n">
        <v>1034.24</v>
      </c>
      <c r="F15" s="11" t="inlineStr">
        <is>
          <t>bilbao_accommodation_2026_06_10-14.pdf  |  2 adults + 1 baby</t>
        </is>
      </c>
    </row>
    <row r="16">
      <c r="A16" s="11" t="inlineStr"/>
      <c r="B16" s="11" t="inlineStr">
        <is>
          <t>ACCOMMODATION SUBTOTAL</t>
        </is>
      </c>
      <c r="C16" s="11" t="inlineStr"/>
      <c r="D16" s="12" t="n">
        <v>897</v>
      </c>
      <c r="E16" s="12" t="n">
        <v>1034.24</v>
      </c>
      <c r="F16" s="11" t="inlineStr"/>
    </row>
    <row r="18" ht="18" customHeight="1">
      <c r="A18" s="3" t="inlineStr">
        <is>
          <t>3. SOFTWARE (ongoing)</t>
        </is>
      </c>
    </row>
    <row r="19">
      <c r="A19" s="4" t="inlineStr">
        <is>
          <t>Category</t>
        </is>
      </c>
      <c r="B19" s="4" t="inlineStr">
        <is>
          <t>Item / Description</t>
        </is>
      </c>
      <c r="C19" s="4" t="inlineStr">
        <is>
          <t>Period</t>
        </is>
      </c>
      <c r="D19" s="4" t="inlineStr">
        <is>
          <t>EUR</t>
        </is>
      </c>
      <c r="E19" s="4" t="inlineStr">
        <is>
          <t>USD</t>
        </is>
      </c>
      <c r="F19" s="4" t="inlineStr">
        <is>
          <t>Receipt / Notes</t>
        </is>
      </c>
    </row>
    <row r="20">
      <c r="A20" s="13" t="inlineStr">
        <is>
          <t>Software (personal)</t>
        </is>
      </c>
      <c r="B20" s="13" t="inlineStr">
        <is>
          <t>Anthropic NJJAFZLE-0015  [personal]</t>
        </is>
      </c>
      <c r="C20" s="13" t="inlineStr">
        <is>
          <t>Jun 6–Jul 6, 2026</t>
        </is>
      </c>
      <c r="D20" s="14" t="n">
        <v>21.78</v>
      </c>
      <c r="E20" s="14" t="n">
        <v>25.11</v>
      </c>
      <c r="F20" s="13" t="inlineStr">
        <is>
          <t>Claude Pro monthly; personal use (same as inv. 0012); Anthropic_2026-06-06.pdf</t>
        </is>
      </c>
    </row>
    <row r="22" ht="18" customHeight="1">
      <c r="A22" s="3" t="inlineStr">
        <is>
          <t>PERIOD 2 SUMMARY</t>
        </is>
      </c>
    </row>
    <row r="23">
      <c r="A23" s="4" t="inlineStr">
        <is>
          <t>Category</t>
        </is>
      </c>
      <c r="B23" s="4" t="inlineStr">
        <is>
          <t>EUR</t>
        </is>
      </c>
      <c r="C23" s="4" t="inlineStr">
        <is>
          <t>USD (@1.153)</t>
        </is>
      </c>
      <c r="D23" s="4" t="inlineStr"/>
      <c r="E23" s="4" t="inlineStr"/>
      <c r="F23" s="4" t="inlineStr"/>
    </row>
    <row r="24">
      <c r="A24" s="17" t="inlineStr">
        <is>
          <t>Flights / Transport (RENFE researcher share)</t>
        </is>
      </c>
      <c r="B24" s="25" t="n">
        <v>133</v>
      </c>
      <c r="C24" s="25" t="n">
        <v>153.35</v>
      </c>
      <c r="D24" s="17" t="inlineStr"/>
      <c r="E24" s="17" t="inlineStr"/>
      <c r="F24" s="17" t="inlineStr"/>
    </row>
    <row r="25">
      <c r="A25" s="17" t="inlineStr">
        <is>
          <t>Accommodation (Airbnb Bilbao)</t>
        </is>
      </c>
      <c r="B25" s="25" t="n">
        <v>897</v>
      </c>
      <c r="C25" s="25" t="n">
        <v>1034.24</v>
      </c>
      <c r="D25" s="17" t="inlineStr"/>
      <c r="E25" s="17" t="inlineStr"/>
      <c r="F25" s="17" t="inlineStr"/>
    </row>
    <row r="26">
      <c r="A26" s="22" t="inlineStr">
        <is>
          <t>INSTITUTIONAL SUBTOTAL</t>
        </is>
      </c>
      <c r="B26" s="23" t="n">
        <v>1030</v>
      </c>
      <c r="C26" s="23" t="n">
        <v>1187.59</v>
      </c>
      <c r="D26" s="22" t="inlineStr"/>
      <c r="E26" s="22" t="inlineStr"/>
      <c r="F26" s="22" t="inlineStr"/>
    </row>
    <row r="27">
      <c r="A27" s="17" t="inlineStr">
        <is>
          <t>Software — personal (Anthropic 0015)</t>
        </is>
      </c>
      <c r="B27" s="25" t="n">
        <v>21.78</v>
      </c>
      <c r="C27" s="25" t="n">
        <v>25.11</v>
      </c>
      <c r="D27" s="17" t="inlineStr"/>
      <c r="E27" s="17" t="inlineStr"/>
      <c r="F27" s="17" t="inlineStr"/>
    </row>
    <row r="28">
      <c r="A28" s="22" t="inlineStr">
        <is>
          <t>FULL TOTAL (incl. personal)</t>
        </is>
      </c>
      <c r="B28" s="23" t="n">
        <v>1051.78</v>
      </c>
      <c r="C28" s="23" t="n">
        <v>1212.7</v>
      </c>
      <c r="D28" s="22" t="inlineStr"/>
      <c r="E28" s="22" t="inlineStr"/>
      <c r="F28" s="22" t="inlineStr"/>
    </row>
  </sheetData>
  <mergeCells count="6">
    <mergeCell ref="A2:F2"/>
    <mergeCell ref="A11:F11"/>
    <mergeCell ref="A1:F1"/>
    <mergeCell ref="A22:F22"/>
    <mergeCell ref="A18:F18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2026-06-10T11:11:14Z</dcterms:created>
  <dcterms:modified xsi:type="dcterms:W3CDTF">2026-06-10T11:11:14Z</dcterms:modified>
</cp:coreProperties>
</file>