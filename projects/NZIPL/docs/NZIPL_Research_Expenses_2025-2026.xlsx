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 Period (Aug25–Jun2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73309"/>
      <sz val="14"/>
    </font>
    <font>
      <i val="1"/>
      <color rgb="004A6B4C"/>
    </font>
    <font>
      <b val="1"/>
      <color rgb="00FFFFFF"/>
    </font>
    <font>
      <b val="1"/>
      <color rgb="00073309"/>
    </font>
  </fonts>
  <fills count="5">
    <fill>
      <patternFill/>
    </fill>
    <fill>
      <patternFill patternType="gray125"/>
    </fill>
    <fill>
      <patternFill patternType="solid">
        <fgColor rgb="003cb54a"/>
      </patternFill>
    </fill>
    <fill>
      <patternFill patternType="solid">
        <fgColor rgb="00073309"/>
      </patternFill>
    </fill>
    <fill>
      <patternFill patternType="solid">
        <fgColor rgb="00F0F7F0"/>
      </patternFill>
    </fill>
  </fills>
  <borders count="2">
    <border>
      <left/>
      <right/>
      <top/>
      <bottom/>
      <diagonal/>
    </border>
    <border>
      <bottom style="thin">
        <color rgb="00D4E8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0" fillId="0" borderId="1" pivotButton="0" quotePrefix="0" xfId="0"/>
    <xf numFmtId="0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26" customWidth="1" min="3" max="3"/>
    <col width="10" customWidth="1" min="4" max="4"/>
    <col width="11" customWidth="1" min="5" max="5"/>
    <col width="60" customWidth="1" min="6" max="6"/>
  </cols>
  <sheetData>
    <row r="1">
      <c r="A1" s="1" t="inlineStr">
        <is>
          <t>NZIPL Research Expenses — Lab Period: August 15, 2025 – June 15, 2026</t>
        </is>
      </c>
      <c r="B1" s="1" t="n"/>
      <c r="C1" s="1" t="n"/>
      <c r="D1" s="1" t="n"/>
      <c r="E1" s="1" t="n"/>
      <c r="F1" s="1" t="n"/>
    </row>
    <row r="2">
      <c r="A2" s="2" t="inlineStr">
        <is>
          <t>Exchange rates: Sep–Oct 2025 ~1.10–1.165 | Jan 2026 ~1.17 | May–Jun 2026 ~1.153 USD/EUR</t>
        </is>
      </c>
      <c r="B2" s="2" t="n"/>
      <c r="C2" s="2" t="n"/>
      <c r="D2" s="2" t="n"/>
      <c r="E2" s="2" t="n"/>
      <c r="F2" s="2" t="n"/>
    </row>
    <row r="4">
      <c r="A4" s="3" t="inlineStr">
        <is>
          <t>1. SOFTWARE SUBSCRIPTIONS</t>
        </is>
      </c>
      <c r="B4" s="3" t="n"/>
      <c r="C4" s="3" t="n"/>
      <c r="D4" s="3" t="n"/>
      <c r="E4" s="3" t="n"/>
      <c r="F4" s="3" t="n"/>
    </row>
    <row r="5">
      <c r="A5" s="4" t="inlineStr">
        <is>
          <t>Category</t>
        </is>
      </c>
      <c r="B5" s="4" t="inlineStr">
        <is>
          <t>Item / Description</t>
        </is>
      </c>
      <c r="C5" s="4" t="inlineStr">
        <is>
          <t>Period</t>
        </is>
      </c>
      <c r="D5" s="4" t="inlineStr">
        <is>
          <t>EUR</t>
        </is>
      </c>
      <c r="E5" s="4" t="inlineStr">
        <is>
          <t>USD</t>
        </is>
      </c>
      <c r="F5" s="4" t="inlineStr">
        <is>
          <t>Receipt / Notes</t>
        </is>
      </c>
    </row>
    <row r="6">
      <c r="A6" s="5" t="inlineStr">
        <is>
          <t>Software</t>
        </is>
      </c>
      <c r="B6" s="5" t="inlineStr">
        <is>
          <t>Claude / Claude Code (Anthropic) — TOTAL</t>
        </is>
      </c>
      <c r="C6" s="5" t="inlineStr">
        <is>
          <t>Mar 6 – Jun 6, 2026</t>
        </is>
      </c>
      <c r="D6" s="5" t="n">
        <v>449.38</v>
      </c>
      <c r="E6" s="5" t="n">
        <v>519</v>
      </c>
      <c r="F6" s="5" t="inlineStr">
        <is>
          <t>15 invoices (0001–0015); EUR 449.38 @ 1.155</t>
        </is>
      </c>
    </row>
    <row r="7">
      <c r="A7" s="5" t="inlineStr">
        <is>
          <t>Software</t>
        </is>
      </c>
      <c r="B7" s="5" t="inlineStr">
        <is>
          <t xml:space="preserve">  ↳ CVCE / NZIPL project  (72% of institutional billing)</t>
        </is>
      </c>
      <c r="C7" s="5" t="inlineStr"/>
      <c r="D7" s="5" t="n">
        <v>308</v>
      </c>
      <c r="E7" s="5" t="n">
        <v>356</v>
      </c>
      <c r="F7" s="5" t="inlineStr">
        <is>
          <t>Project-attributed</t>
        </is>
      </c>
    </row>
    <row r="8">
      <c r="A8" s="5" t="inlineStr">
        <is>
          <t>Software</t>
        </is>
      </c>
      <c r="B8" s="5" t="inlineStr">
        <is>
          <t xml:space="preserve">  ↳ LEEDS_MODEL  [personal]</t>
        </is>
      </c>
      <c r="C8" s="5" t="inlineStr"/>
      <c r="D8" s="5" t="n">
        <v>64</v>
      </c>
      <c r="E8" s="5" t="n">
        <v>74</v>
      </c>
      <c r="F8" s="5" t="inlineStr">
        <is>
          <t>Personal — paper submission sprint Apr 2026</t>
        </is>
      </c>
    </row>
    <row r="9">
      <c r="A9" s="5" t="inlineStr">
        <is>
          <t>Software</t>
        </is>
      </c>
      <c r="B9" s="5" t="inlineStr">
        <is>
          <t xml:space="preserve">  ↳ Conservation papers  [personal]</t>
        </is>
      </c>
      <c r="C9" s="5" t="inlineStr"/>
      <c r="D9" s="5" t="n">
        <v>34</v>
      </c>
      <c r="E9" s="5" t="n">
        <v>39</v>
      </c>
      <c r="F9" s="5" t="inlineStr">
        <is>
          <t>Personal — sraffa_acs / econ_thermo</t>
        </is>
      </c>
    </row>
    <row r="10">
      <c r="A10" s="5" t="inlineStr">
        <is>
          <t>Software</t>
        </is>
      </c>
      <c r="B10" s="5" t="inlineStr">
        <is>
          <t xml:space="preserve">  ↳ Personal use  [personal]</t>
        </is>
      </c>
      <c r="C10" s="5" t="inlineStr"/>
      <c r="D10" s="5" t="n">
        <v>44</v>
      </c>
      <c r="E10" s="5" t="n">
        <v>50</v>
      </c>
      <c r="F10" s="5" t="inlineStr">
        <is>
          <t>Invoices 0012 (May 6) + 0015 (Jun 6)</t>
        </is>
      </c>
    </row>
    <row r="11">
      <c r="A11" s="5" t="inlineStr">
        <is>
          <t>Software</t>
        </is>
      </c>
      <c r="B11" s="5" t="inlineStr">
        <is>
          <t>ChatGPT Plus (OpenAI)</t>
        </is>
      </c>
      <c r="C11" s="5" t="inlineStr">
        <is>
          <t>Aug 17 – Apr 17, 2026</t>
        </is>
      </c>
      <c r="D11" s="5" t="n"/>
      <c r="E11" s="5" t="n">
        <v>194.67</v>
      </c>
      <c r="F11" s="5" t="inlineStr">
        <is>
          <t>9 months × $21.63; cancelled Apr 2026</t>
        </is>
      </c>
    </row>
    <row r="12">
      <c r="A12" s="5" t="inlineStr">
        <is>
          <t>Software</t>
        </is>
      </c>
      <c r="B12" s="5" t="inlineStr">
        <is>
          <t>Windsurf Pro (Exafunction)</t>
        </is>
      </c>
      <c r="C12" s="5" t="inlineStr">
        <is>
          <t>Sep 4 – Mar 4, 2026</t>
        </is>
      </c>
      <c r="D12" s="5" t="n"/>
      <c r="E12" s="5" t="n">
        <v>113.54</v>
      </c>
      <c r="F12" s="5" t="inlineStr">
        <is>
          <t>7 months × $16.22; cancelled Mar 2026</t>
        </is>
      </c>
    </row>
    <row r="13">
      <c r="A13" s="5" t="inlineStr">
        <is>
          <t>Software</t>
        </is>
      </c>
      <c r="B13" s="5" t="inlineStr">
        <is>
          <t>Posit Connect Cloud</t>
        </is>
      </c>
      <c r="C13" s="5" t="inlineStr">
        <is>
          <t>Sep 27 – Feb 27, 2026</t>
        </is>
      </c>
      <c r="D13" s="5" t="n"/>
      <c r="E13" s="5" t="n">
        <v>123.24</v>
      </c>
      <c r="F13" s="5" t="inlineStr">
        <is>
          <t>6 months × $20.54; cancelled Feb 2026</t>
        </is>
      </c>
    </row>
    <row r="14">
      <c r="A14" s="6" t="inlineStr">
        <is>
          <t>SOFTWARE SUBTOTAL (all)</t>
        </is>
      </c>
      <c r="B14" s="6" t="n"/>
      <c r="C14" s="6" t="n"/>
      <c r="D14" s="6" t="n"/>
      <c r="E14" s="6" t="n">
        <v>950</v>
      </c>
      <c r="F14" s="6" t="n"/>
    </row>
    <row r="15">
      <c r="A15" s="7" t="inlineStr">
        <is>
          <t>SOFTWARE — Personal (LEEDS + Conservation + personal use)</t>
        </is>
      </c>
      <c r="B15" s="7" t="n"/>
      <c r="C15" s="7" t="n"/>
      <c r="D15" s="7" t="n">
        <v>141.56</v>
      </c>
      <c r="E15" s="7" t="n">
        <v>163</v>
      </c>
      <c r="F15" s="7" t="inlineStr">
        <is>
          <t>Excluded from project subtotal</t>
        </is>
      </c>
    </row>
    <row r="16">
      <c r="A16" s="6" t="inlineStr">
        <is>
          <t>SOFTWARE PROJECT SUBTOTAL (72% Anthropic CVCE + pre-Claude tools)</t>
        </is>
      </c>
      <c r="B16" s="6" t="n"/>
      <c r="C16" s="6" t="n"/>
      <c r="D16" s="6" t="n"/>
      <c r="E16" s="6" t="n">
        <v>787</v>
      </c>
      <c r="F16" s="6">
        <f> $356 (CVCE Anthropic) + $431 (ChatGPT+Windsurf+Posit)</f>
        <v/>
      </c>
    </row>
    <row r="18">
      <c r="A18" s="3" t="inlineStr">
        <is>
          <t>2. RESEARCH TRAVEL (flights + transport)</t>
        </is>
      </c>
      <c r="B18" s="3" t="n"/>
      <c r="C18" s="3" t="n"/>
      <c r="D18" s="3" t="n"/>
      <c r="E18" s="3" t="n"/>
      <c r="F18" s="3" t="n"/>
    </row>
    <row r="19">
      <c r="A19" s="4" t="inlineStr">
        <is>
          <t>Category</t>
        </is>
      </c>
      <c r="B19" s="4" t="inlineStr">
        <is>
          <t>Item / Description</t>
        </is>
      </c>
      <c r="C19" s="4" t="inlineStr">
        <is>
          <t>Period</t>
        </is>
      </c>
      <c r="D19" s="4" t="inlineStr">
        <is>
          <t>EUR</t>
        </is>
      </c>
      <c r="E19" s="4" t="inlineStr">
        <is>
          <t>USD</t>
        </is>
      </c>
      <c r="F19" s="4" t="inlineStr">
        <is>
          <t>Receipt / Notes</t>
        </is>
      </c>
    </row>
    <row r="20">
      <c r="A20" s="5" t="inlineStr">
        <is>
          <t>Flight</t>
        </is>
      </c>
      <c r="B20" s="5" t="inlineStr">
        <is>
          <t>NYC Climate Week  (BCN↔JFK)  ✓</t>
        </is>
      </c>
      <c r="C20" s="5" t="inlineStr">
        <is>
          <t>Sep 17–30, 2025</t>
        </is>
      </c>
      <c r="D20" s="5" t="n"/>
      <c r="E20" s="5" t="n">
        <v>430.3</v>
      </c>
      <c r="F20" s="5" t="inlineStr">
        <is>
          <t>American AA67/AA66; eDreams 23868096095 / SXHYLT; nyc_20250917-30.pdf</t>
        </is>
      </c>
    </row>
    <row r="21">
      <c r="A21" s="5" t="inlineStr">
        <is>
          <t>Flight</t>
        </is>
      </c>
      <c r="B21" s="5" t="inlineStr">
        <is>
          <t>IMF / World Bank DC  (BCN↔IAD)  ✓</t>
        </is>
      </c>
      <c r="C21" s="5" t="inlineStr">
        <is>
          <t>Oct 14–20, 2025</t>
        </is>
      </c>
      <c r="D21" s="5" t="n"/>
      <c r="E21" s="5" t="n">
        <v>471.03</v>
      </c>
      <c r="F21" s="5" t="inlineStr">
        <is>
          <t>KLM via AMS; Gmail receipt printout; dc_20251014-19.pdf</t>
        </is>
      </c>
    </row>
    <row r="22">
      <c r="A22" s="5" t="inlineStr">
        <is>
          <t>Flight</t>
        </is>
      </c>
      <c r="B22" s="5" t="inlineStr">
        <is>
          <t>FMM Conference Berlin  (BCN→MUC→BER→BCN)  ✓</t>
        </is>
      </c>
      <c r="C22" s="5" t="inlineStr">
        <is>
          <t>Oct 22–26, 2025</t>
        </is>
      </c>
      <c r="D22" s="5" t="n"/>
      <c r="E22" s="5" t="n">
        <v>255</v>
      </c>
      <c r="F22" s="5" t="inlineStr">
        <is>
          <t>Lufthansa + Iberia/Vueling; Kiwi 686601960 / inv 2025-46242179; berlin_20251022-26.pdf</t>
        </is>
      </c>
    </row>
    <row r="23">
      <c r="A23" s="5" t="inlineStr">
        <is>
          <t>Flight</t>
        </is>
      </c>
      <c r="B23" s="5" t="inlineStr">
        <is>
          <t>Cassino SFC Workshop  (BCN↔FCO)  ✓</t>
        </is>
      </c>
      <c r="C23" s="5" t="inlineStr">
        <is>
          <t>Jan 14–16, 2026</t>
        </is>
      </c>
      <c r="D23" s="5" t="n"/>
      <c r="E23" s="5" t="n">
        <v>208.25</v>
      </c>
      <c r="F23" s="5" t="inlineStr">
        <is>
          <t>Ryanair; Kiwi 715343926 / inv 2025-47958348; incl. 8kg bag; cassino_20260114-16.pdf</t>
        </is>
      </c>
    </row>
    <row r="24">
      <c r="A24" s="5" t="inlineStr">
        <is>
          <t>Train</t>
        </is>
      </c>
      <c r="B24" s="5" t="inlineStr">
        <is>
          <t>JEC2026 Bilbao  (BCN↔BIO, researcher ½ share)  ✓</t>
        </is>
      </c>
      <c r="C24" s="5" t="inlineStr">
        <is>
          <t>Jun 10–14, 2026</t>
        </is>
      </c>
      <c r="D24" s="5" t="n">
        <v>123</v>
      </c>
      <c r="E24" s="5" t="n">
        <v>141.82</v>
      </c>
      <c r="F24" s="5" t="inlineStr">
        <is>
          <t>RENFE ALVIA 6D3DF8; ½ of EUR 246 (2 adults + 1 free baby) = EUR 50.30 + 72.70; bilbao_20260610-14.pdf</t>
        </is>
      </c>
    </row>
    <row r="25">
      <c r="A25" s="6" t="inlineStr">
        <is>
          <t>TRAVEL SUBTOTAL</t>
        </is>
      </c>
      <c r="B25" s="6" t="n"/>
      <c r="C25" s="6" t="n"/>
      <c r="D25" s="6" t="n"/>
      <c r="E25" s="6" t="n">
        <v>1506.4</v>
      </c>
      <c r="F25" s="6" t="n"/>
    </row>
    <row r="27">
      <c r="A27" s="3" t="inlineStr">
        <is>
          <t>3. ACCOMMODATION</t>
        </is>
      </c>
      <c r="B27" s="3" t="n"/>
      <c r="C27" s="3" t="n"/>
      <c r="D27" s="3" t="n"/>
      <c r="E27" s="3" t="n"/>
      <c r="F27" s="3" t="n"/>
    </row>
    <row r="28">
      <c r="A28" s="4" t="inlineStr">
        <is>
          <t>Category</t>
        </is>
      </c>
      <c r="B28" s="4" t="inlineStr">
        <is>
          <t>Item / Description</t>
        </is>
      </c>
      <c r="C28" s="4" t="inlineStr">
        <is>
          <t>Period</t>
        </is>
      </c>
      <c r="D28" s="4" t="inlineStr">
        <is>
          <t>EUR</t>
        </is>
      </c>
      <c r="E28" s="4" t="inlineStr">
        <is>
          <t>USD</t>
        </is>
      </c>
      <c r="F28" s="4" t="inlineStr">
        <is>
          <t>Receipt / Notes</t>
        </is>
      </c>
    </row>
    <row r="29">
      <c r="A29" s="5" t="inlineStr">
        <is>
          <t>Accommodation</t>
        </is>
      </c>
      <c r="B29" s="5" t="inlineStr">
        <is>
          <t>New York City</t>
        </is>
      </c>
      <c r="C29" s="5" t="inlineStr">
        <is>
          <t>Sep 17–30, 2025</t>
        </is>
      </c>
      <c r="D29" s="5" t="n">
        <v>0</v>
      </c>
      <c r="E29" s="5" t="n">
        <v>0</v>
      </c>
      <c r="F29" s="5" t="inlineStr">
        <is>
          <t>Friend's place — no cost</t>
        </is>
      </c>
    </row>
    <row r="30">
      <c r="A30" s="5" t="inlineStr">
        <is>
          <t>Accommodation</t>
        </is>
      </c>
      <c r="B30" s="5" t="inlineStr">
        <is>
          <t>Washington DC</t>
        </is>
      </c>
      <c r="C30" s="5" t="inlineStr">
        <is>
          <t>Oct 14–19, 2025</t>
        </is>
      </c>
      <c r="D30" s="5" t="n">
        <v>0</v>
      </c>
      <c r="E30" s="5" t="n">
        <v>0</v>
      </c>
      <c r="F30" s="5" t="inlineStr">
        <is>
          <t>Friend's place — no cost</t>
        </is>
      </c>
    </row>
    <row r="31">
      <c r="A31" s="5" t="inlineStr">
        <is>
          <t>Accommodation</t>
        </is>
      </c>
      <c r="B31" s="5" t="inlineStr">
        <is>
          <t>Berlin</t>
        </is>
      </c>
      <c r="C31" s="5" t="inlineStr">
        <is>
          <t>Oct 22–27, 2025</t>
        </is>
      </c>
      <c r="D31" s="5" t="n">
        <v>90</v>
      </c>
      <c r="E31" s="5" t="n">
        <v>99</v>
      </c>
      <c r="F31" s="5" t="inlineStr">
        <is>
          <t>Friend's apt; EUR 90 prorated rent @ 1.10</t>
        </is>
      </c>
    </row>
    <row r="32">
      <c r="A32" s="5" t="inlineStr">
        <is>
          <t>Accommodation</t>
        </is>
      </c>
      <c r="B32" s="5" t="inlineStr">
        <is>
          <t>Cassino / Rome</t>
        </is>
      </c>
      <c r="C32" s="5" t="inlineStr">
        <is>
          <t>Jan 13–17, 2026</t>
        </is>
      </c>
      <c r="D32" s="5" t="n">
        <v>0</v>
      </c>
      <c r="E32" s="5" t="n">
        <v>0</v>
      </c>
      <c r="F32" s="5" t="inlineStr">
        <is>
          <t>Friend's place — no cost</t>
        </is>
      </c>
    </row>
    <row r="33">
      <c r="A33" s="5" t="inlineStr">
        <is>
          <t>Accommodation</t>
        </is>
      </c>
      <c r="B33" s="5" t="inlineStr">
        <is>
          <t>Bilbao — Airbnb (researcher ½ share)</t>
        </is>
      </c>
      <c r="C33" s="5" t="inlineStr">
        <is>
          <t>Jun 10–14, 2026</t>
        </is>
      </c>
      <c r="D33" s="5" t="n">
        <v>448.5</v>
      </c>
      <c r="E33" s="5" t="n">
        <v>517.12</v>
      </c>
      <c r="F33" s="5" t="inlineStr">
        <is>
          <t>Full EUR 897 paid (EUR 822 + EUR 75 cleaning), 2 adults + 1 free baby; ½ = EUR 448.50; BIOHOME SL ARETXAGA; booking 123253; bilbao_accommodation_20260610-14.pdf</t>
        </is>
      </c>
    </row>
    <row r="34">
      <c r="A34" s="6" t="inlineStr">
        <is>
          <t>ACCOMMODATION SUBTOTAL</t>
        </is>
      </c>
      <c r="B34" s="6" t="n"/>
      <c r="C34" s="6" t="n"/>
      <c r="D34" s="6" t="n">
        <v>538.5</v>
      </c>
      <c r="E34" s="6" t="n">
        <v>616.12</v>
      </c>
      <c r="F34" s="6" t="n"/>
    </row>
    <row r="36">
      <c r="A36" s="3" t="inlineStr">
        <is>
          <t>PERIOD SUMMARY (Aug 15, 2025 – Jun 15, 2026)</t>
        </is>
      </c>
      <c r="B36" s="3" t="n"/>
      <c r="C36" s="3" t="n"/>
      <c r="D36" s="3" t="n"/>
      <c r="E36" s="3" t="n"/>
      <c r="F36" s="3" t="n"/>
    </row>
    <row r="37">
      <c r="A37" s="4" t="inlineStr">
        <is>
          <t>Category</t>
        </is>
      </c>
      <c r="B37" s="4" t="inlineStr"/>
      <c r="C37" s="4" t="inlineStr"/>
      <c r="D37" s="4" t="inlineStr"/>
      <c r="E37" s="4" t="inlineStr">
        <is>
          <t>Total USD</t>
        </is>
      </c>
      <c r="F37" s="4" t="inlineStr">
        <is>
          <t>Project USD</t>
        </is>
      </c>
    </row>
    <row r="38">
      <c r="A38" s="5" t="inlineStr">
        <is>
          <t>Software — all tools</t>
        </is>
      </c>
      <c r="B38" s="5" t="inlineStr"/>
      <c r="C38" s="5" t="inlineStr"/>
      <c r="D38" s="5" t="inlineStr"/>
      <c r="E38" s="5" t="n">
        <v>950</v>
      </c>
      <c r="F38" s="5" t="n"/>
    </row>
    <row r="39">
      <c r="A39" s="5" t="inlineStr">
        <is>
          <t>Software — personal</t>
        </is>
      </c>
      <c r="B39" s="5" t="inlineStr"/>
      <c r="C39" s="5" t="inlineStr"/>
      <c r="D39" s="5" t="inlineStr"/>
      <c r="E39" s="5" t="n">
        <v>163</v>
      </c>
      <c r="F39" s="5" t="n"/>
    </row>
    <row r="40">
      <c r="A40" s="5" t="inlineStr">
        <is>
          <t>Software — project subtotal</t>
        </is>
      </c>
      <c r="B40" s="5" t="inlineStr"/>
      <c r="C40" s="5" t="inlineStr"/>
      <c r="D40" s="5" t="inlineStr"/>
      <c r="E40" s="5" t="n">
        <v>787</v>
      </c>
      <c r="F40" s="5" t="n">
        <v>787</v>
      </c>
    </row>
    <row r="41">
      <c r="A41" s="5" t="inlineStr">
        <is>
          <t>Research travel (flights + RENFE)</t>
        </is>
      </c>
      <c r="B41" s="5" t="inlineStr"/>
      <c r="C41" s="5" t="inlineStr"/>
      <c r="D41" s="5" t="inlineStr"/>
      <c r="E41" s="5" t="n">
        <v>1506</v>
      </c>
      <c r="F41" s="5" t="n">
        <v>1506</v>
      </c>
    </row>
    <row r="42">
      <c r="A42" s="5" t="inlineStr">
        <is>
          <t>Accommodation (Berlin + Bilbao ½ share)</t>
        </is>
      </c>
      <c r="B42" s="5" t="inlineStr"/>
      <c r="C42" s="5" t="inlineStr"/>
      <c r="D42" s="5" t="inlineStr"/>
      <c r="E42" s="5" t="n">
        <v>616</v>
      </c>
      <c r="F42" s="5" t="n">
        <v>616</v>
      </c>
    </row>
    <row r="43">
      <c r="A43" s="6" t="inlineStr">
        <is>
          <t>GRAND TOTAL (all)</t>
        </is>
      </c>
      <c r="B43" s="6" t="inlineStr"/>
      <c r="C43" s="6" t="inlineStr"/>
      <c r="D43" s="6" t="inlineStr"/>
      <c r="E43" s="6" t="n">
        <v>3073</v>
      </c>
      <c r="F43" s="6" t="n"/>
    </row>
    <row r="44">
      <c r="A44" s="6" t="inlineStr">
        <is>
          <t>PROJECT / INSTITUTIONAL TOTAL</t>
        </is>
      </c>
      <c r="B44" s="6" t="inlineStr"/>
      <c r="C44" s="6" t="inlineStr"/>
      <c r="D44" s="6" t="inlineStr"/>
      <c r="E44" s="6" t="n"/>
      <c r="F44" s="6" t="n">
        <v>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2026-06-26T09:31:03Z</dcterms:created>
  <dcterms:modified xsi:type="dcterms:W3CDTF">2026-06-26T09:31:03Z</dcterms:modified>
</cp:coreProperties>
</file>